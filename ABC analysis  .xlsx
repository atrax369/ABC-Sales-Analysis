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9710EE0E-D204-4DEE-AD77-7F002006C530}" xr6:coauthVersionLast="47" xr6:coauthVersionMax="47" xr10:uidLastSave="{00000000-0000-0000-0000-000000000000}"/>
  <bookViews>
    <workbookView xWindow="-108" yWindow="-108" windowWidth="23256" windowHeight="12456" xr2:uid="{652EA9E3-8176-4162-9F8B-AB8BEE52C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F11" i="1"/>
  <c r="G11" i="1" s="1" a="1"/>
  <c r="G11" i="1" s="1"/>
  <c r="E11" i="1"/>
  <c r="F10" i="1"/>
  <c r="G10" i="1" s="1" a="1"/>
  <c r="G10" i="1" s="1"/>
  <c r="E10" i="1"/>
  <c r="F9" i="1"/>
  <c r="G9" i="1" s="1" a="1"/>
  <c r="G9" i="1" s="1"/>
  <c r="E9" i="1"/>
  <c r="F8" i="1"/>
  <c r="G8" i="1" s="1" a="1"/>
  <c r="G8" i="1" s="1"/>
  <c r="E8" i="1"/>
  <c r="F7" i="1"/>
  <c r="G7" i="1" s="1" a="1"/>
  <c r="G7" i="1" s="1"/>
  <c r="E7" i="1"/>
  <c r="F6" i="1"/>
  <c r="G6" i="1" s="1" a="1"/>
  <c r="G6" i="1" s="1"/>
  <c r="E6" i="1"/>
  <c r="F5" i="1"/>
  <c r="G5" i="1" s="1" a="1"/>
  <c r="G5" i="1" s="1"/>
  <c r="E5" i="1"/>
  <c r="F4" i="1"/>
  <c r="G4" i="1" s="1" a="1"/>
  <c r="G4" i="1" s="1"/>
  <c r="E4" i="1"/>
  <c r="F3" i="1"/>
  <c r="G3" i="1" s="1" a="1"/>
  <c r="G3" i="1" s="1"/>
  <c r="E3" i="1"/>
  <c r="F2" i="1"/>
  <c r="G2" i="1" s="1" a="1"/>
  <c r="G2" i="1" s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<sst xmlns="http://schemas.openxmlformats.org/spreadsheetml/2006/main" count="17" uniqueCount="17">
  <si>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Məhsul</t>
  </si>
  <si>
    <t>Satış Miqdarı (ədəd/il)</t>
  </si>
  <si>
    <t>Qiymət (AZN)</t>
  </si>
  <si>
    <t>İllik Dəyər (AZN)</t>
  </si>
  <si>
    <t>Faiz (%)</t>
  </si>
  <si>
    <t>Cumulative(%)</t>
  </si>
  <si>
    <t>ABC</t>
  </si>
  <si>
    <t>A2</t>
  </si>
  <si>
    <t>A5</t>
  </si>
  <si>
    <t>A7</t>
  </si>
  <si>
    <t>A1</t>
  </si>
  <si>
    <t>A3</t>
  </si>
  <si>
    <t>A10</t>
  </si>
  <si>
    <t>A8</t>
  </si>
  <si>
    <t>A9</t>
  </si>
  <si>
    <t>A4</t>
  </si>
  <si>
    <t>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</si>
</sst>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b/>
      <sz val="16"/>
      <name val="Calibri"/>
      <family val="1"/>
    </font>
    <font>
      <sz val="16"/>
      <name val="Calibri"/>
      <family val="1"/>
    </font>
    <font>
      <sz val="11"/>
      <name val="Calibri"/>
      <family val="1"/>
    </font>
    <font>
      <b/>
      <sz val="1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0" borderId="1" xfId="0" applyFont="1" applyBorder="1"/>
    <xf numFmtId="9" fontId="3" fillId="0" borderId="1" xfId="1" applyFont="1" applyBorder="1"/>
    <xf numFmtId="9" fontId="3" fillId="0" borderId="1" xfId="0" applyNumberFormat="1" applyFont="1" applyBorder="1"/>
    <xf numFmtId="9" fontId="4" fillId="0" borderId="0" xfId="0" applyNumberFormat="1" applyFont="1"/>
    <xf numFmtId="0" fontId="3" fillId="4" borderId="1" xfId="0" applyFont="1" applyFill="1" applyBorder="1"/>
    <xf numFmtId="0" fontId="3" fillId="5" borderId="1" xfId="0" applyFont="1" applyFill="1" applyBorder="1"/>
    <xf numFmtId="0" fontId="3" fillId="0" borderId="0" xfId="0" applyFont="1"/>
    <xf numFmtId="0" fontId="3" fillId="6" borderId="0" xfId="0" applyFont="1" applyFill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216F-192A-4D7E-B78D-BF399ABCFBB9}">
  <dimension ref="A1:H20"/>
  <sheetViews>
    <sheetView tabSelected="1" zoomScale="59" workbookViewId="0">
      <selection activeCell="C14" sqref="C14"/>
    </sheetView>
  </sheetViews>
  <sheetFormatPr defaultColWidth="8" defaultRowHeight="14.4" x14ac:dyDescent="0.3"/>
  <cols>
    <col min="1" max="1" width="14" customWidth="1"/>
    <col min="2" max="2" width="32.6640625" customWidth="1"/>
    <col min="3" max="3" width="17.88671875" customWidth="1"/>
    <col min="4" max="4" width="27.109375" customWidth="1"/>
    <col min="5" max="5" width="16.33203125" customWidth="1"/>
    <col min="6" max="6" width="21.21875" customWidth="1"/>
    <col min="7" max="7" width="15.88671875" customWidth="1"/>
  </cols>
  <sheetData>
    <row r="1" spans="1:8" ht="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21" x14ac:dyDescent="0.4">
      <c r="A2" s="2" t="s">
        <v>7</v>
      </c>
      <c r="B2" s="3">
        <v>500</v>
      </c>
      <c r="C2" s="3">
        <v>200</v>
      </c>
      <c r="D2" s="3">
        <v>100000</v>
      </c>
      <c r="E2" s="4">
        <f t="shared" ref="E2:E11" si="0">D2/$D$12*100%</f>
        <v>0.24875621890547264</v>
      </c>
      <c r="F2" s="5">
        <f>SUM($E$2:E2)</f>
        <v>0.24875621890547264</v>
      </c>
      <c r="G2" s="3" t="str" cm="1">
        <f t="array" ref="G2">_xlfn.IFS(F2&lt;0.8,"A",F2&lt;0.95,"B",TRUE,"C")</f>
        <v>A</v>
      </c>
    </row>
    <row r="3" spans="1:8" ht="21" x14ac:dyDescent="0.4">
      <c r="A3" s="2" t="s">
        <v>8</v>
      </c>
      <c r="B3" s="3">
        <v>700</v>
      </c>
      <c r="C3" s="3">
        <v>100</v>
      </c>
      <c r="D3" s="3">
        <v>70000</v>
      </c>
      <c r="E3" s="4">
        <f t="shared" si="0"/>
        <v>0.17412935323383086</v>
      </c>
      <c r="F3" s="5">
        <f>SUM($E$2:E3)</f>
        <v>0.4228855721393035</v>
      </c>
      <c r="G3" s="3" t="str" cm="1">
        <f t="array" ref="G3">_xlfn.IFS(F3&lt;0.8,"A",F3&lt;0.95,"B",TRUE,"C")</f>
        <v>A</v>
      </c>
      <c r="H3" s="6"/>
    </row>
    <row r="4" spans="1:8" ht="21" x14ac:dyDescent="0.4">
      <c r="A4" s="2" t="s">
        <v>9</v>
      </c>
      <c r="B4" s="3">
        <v>100</v>
      </c>
      <c r="C4" s="3">
        <v>500</v>
      </c>
      <c r="D4" s="3">
        <v>50000</v>
      </c>
      <c r="E4" s="4">
        <f t="shared" si="0"/>
        <v>0.12437810945273632</v>
      </c>
      <c r="F4" s="5">
        <f>SUM($E$2:E4)</f>
        <v>0.54726368159203986</v>
      </c>
      <c r="G4" s="3" t="str" cm="1">
        <f t="array" ref="G4">_xlfn.IFS(F4&lt;0.8,"A",F4&lt;0.95,"B",TRUE,"C")</f>
        <v>A</v>
      </c>
    </row>
    <row r="5" spans="1:8" ht="21" x14ac:dyDescent="0.4">
      <c r="A5" s="2" t="s">
        <v>10</v>
      </c>
      <c r="B5" s="3">
        <v>1000</v>
      </c>
      <c r="C5" s="3">
        <v>50</v>
      </c>
      <c r="D5" s="3">
        <v>50000</v>
      </c>
      <c r="E5" s="4">
        <f t="shared" si="0"/>
        <v>0.12437810945273632</v>
      </c>
      <c r="F5" s="5">
        <f>SUM($E$2:E5)</f>
        <v>0.67164179104477617</v>
      </c>
      <c r="G5" s="3" t="str" cm="1">
        <f t="array" ref="G5">_xlfn.IFS(F5&lt;0.8,"A",F5&lt;0.95,"B",TRUE,"C")</f>
        <v>A</v>
      </c>
    </row>
    <row r="6" spans="1:8" ht="21" x14ac:dyDescent="0.4">
      <c r="A6" s="2" t="s">
        <v>11</v>
      </c>
      <c r="B6" s="3">
        <v>300</v>
      </c>
      <c r="C6" s="3">
        <v>150</v>
      </c>
      <c r="D6" s="3">
        <v>45000</v>
      </c>
      <c r="E6" s="4">
        <f t="shared" si="0"/>
        <v>0.11194029850746269</v>
      </c>
      <c r="F6" s="5">
        <f>SUM($E$2:E6)</f>
        <v>0.78358208955223885</v>
      </c>
      <c r="G6" s="3" t="str" cm="1">
        <f t="array" ref="G6">_xlfn.IFS(F6&lt;0.8,"A",F6&lt;0.95,"B",TRUE,"C")</f>
        <v>A</v>
      </c>
    </row>
    <row r="7" spans="1:8" ht="21" x14ac:dyDescent="0.4">
      <c r="A7" s="7" t="s">
        <v>12</v>
      </c>
      <c r="B7" s="3">
        <v>800</v>
      </c>
      <c r="C7" s="3">
        <v>30</v>
      </c>
      <c r="D7" s="3">
        <v>24000</v>
      </c>
      <c r="E7" s="4">
        <f t="shared" si="0"/>
        <v>5.9701492537313432E-2</v>
      </c>
      <c r="F7" s="5">
        <f>SUM($E$2:E7)</f>
        <v>0.84328358208955223</v>
      </c>
      <c r="G7" s="3" t="str" cm="1">
        <f t="array" ref="G7">_xlfn.IFS(F7&lt;0.8,"A",F7&lt;0.95,"B",TRUE,"C")</f>
        <v>B</v>
      </c>
    </row>
    <row r="8" spans="1:8" ht="21" x14ac:dyDescent="0.4">
      <c r="A8" s="7" t="s">
        <v>13</v>
      </c>
      <c r="B8" s="3">
        <v>250</v>
      </c>
      <c r="C8" s="3">
        <v>80</v>
      </c>
      <c r="D8" s="3">
        <v>20000</v>
      </c>
      <c r="E8" s="4">
        <f t="shared" si="0"/>
        <v>4.975124378109453E-2</v>
      </c>
      <c r="F8" s="5">
        <f>SUM($E$2:E8)</f>
        <v>0.89303482587064675</v>
      </c>
      <c r="G8" s="3" t="str" cm="1">
        <f t="array" ref="G8">_xlfn.IFS(F8&lt;0.8,"A",F8&lt;0.95,"B",TRUE,"C")</f>
        <v>B</v>
      </c>
    </row>
    <row r="9" spans="1:8" ht="21" x14ac:dyDescent="0.4">
      <c r="A9" s="7" t="s">
        <v>14</v>
      </c>
      <c r="B9" s="3">
        <v>1200</v>
      </c>
      <c r="C9" s="3">
        <v>15</v>
      </c>
      <c r="D9" s="3">
        <v>18000</v>
      </c>
      <c r="E9" s="4">
        <f t="shared" si="0"/>
        <v>4.4776119402985072E-2</v>
      </c>
      <c r="F9" s="5">
        <f>SUM($E$2:E9)</f>
        <v>0.93781094527363185</v>
      </c>
      <c r="G9" s="3" t="str" cm="1">
        <f t="array" ref="G9">_xlfn.IFS(F9&lt;0.8,"A",F9&lt;0.95,"B",TRUE,"C")</f>
        <v>B</v>
      </c>
    </row>
    <row r="10" spans="1:8" ht="21" x14ac:dyDescent="0.4">
      <c r="A10" s="8" t="s">
        <v>15</v>
      </c>
      <c r="B10" s="3">
        <v>1500</v>
      </c>
      <c r="C10" s="3">
        <v>10</v>
      </c>
      <c r="D10" s="3">
        <v>15000</v>
      </c>
      <c r="E10" s="4">
        <f t="shared" si="0"/>
        <v>3.7313432835820892E-2</v>
      </c>
      <c r="F10" s="5">
        <f>SUM($E$2:E10)</f>
        <v>0.97512437810945274</v>
      </c>
      <c r="G10" s="3" t="str" cm="1">
        <f t="array" ref="G10">_xlfn.IFS(F10&lt;0.8,"A",F10&lt;0.95,"B",TRUE,"C")</f>
        <v>C</v>
      </c>
    </row>
    <row r="11" spans="1:8" ht="21" x14ac:dyDescent="0.4">
      <c r="A11" s="8" t="s">
        <v>16</v>
      </c>
      <c r="B11" s="3">
        <v>2000</v>
      </c>
      <c r="C11" s="3">
        <v>5</v>
      </c>
      <c r="D11" s="3">
        <v>10000</v>
      </c>
      <c r="E11" s="4">
        <f t="shared" si="0"/>
        <v>2.4875621890547265E-2</v>
      </c>
      <c r="F11" s="5">
        <f>SUM($E$2:E11)</f>
        <v>1</v>
      </c>
      <c r="G11" s="3" t="str" cm="1">
        <f t="array" ref="G11">_xlfn.IFS(F11&lt;0.8,"A",F11&lt;0.95,"B",TRUE,"C")</f>
        <v>C</v>
      </c>
    </row>
    <row r="12" spans="1:8" ht="21" x14ac:dyDescent="0.4">
      <c r="A12" s="9"/>
      <c r="B12" s="9"/>
      <c r="C12" s="9"/>
      <c r="D12" s="10">
        <f>SUM(D2:D11)</f>
        <v>402000</v>
      </c>
      <c r="E12" s="9"/>
      <c r="F12" s="9"/>
      <c r="G12" s="9"/>
    </row>
    <row r="20" spans="2:2" ht="21" x14ac:dyDescent="0.4">
      <c r="B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Abbasov Rəman Ramil</dc:creator>
  <cp:lastModifiedBy>Abbasov Rəman Ramil</cp:lastModifiedBy>
  <dcterms:created xsi:type="dcterms:W3CDTF">2025-12-19T17:52:09Z</dcterms:created>
  <dcterms:modified xsi:type="dcterms:W3CDTF">2025-12-19T17:54:42Z</dcterms:modified>
</cp:coreProperties>
</file>